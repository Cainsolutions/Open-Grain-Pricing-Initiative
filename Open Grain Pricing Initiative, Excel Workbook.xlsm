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d5588ca8f1771c/Documents/important documents/Finance/AG Pricing model/"/>
    </mc:Choice>
  </mc:AlternateContent>
  <xr:revisionPtr revIDLastSave="4" documentId="14_{F2C9C4B3-2B98-4CDE-805F-48A368970521}" xr6:coauthVersionLast="47" xr6:coauthVersionMax="47" xr10:uidLastSave="{4A1FD430-846A-4FE9-831D-D793823B1903}"/>
  <bookViews>
    <workbookView xWindow="-110" yWindow="-110" windowWidth="19420" windowHeight="11500" xr2:uid="{AC5CC934-3ED1-4BD9-BF5F-A7423A71AAB8}"/>
  </bookViews>
  <sheets>
    <sheet name="Pricing 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1" l="1"/>
  <c r="H14" i="1"/>
  <c r="E38" i="1"/>
  <c r="E39" i="1" s="1"/>
  <c r="E16" i="1"/>
  <c r="H21" i="1" s="1"/>
  <c r="E15" i="1"/>
  <c r="H20" i="1" s="1"/>
  <c r="E18" i="1"/>
  <c r="H23" i="1" s="1"/>
  <c r="E17" i="1"/>
  <c r="H22" i="1" s="1"/>
  <c r="E29" i="1"/>
  <c r="E19" i="1" l="1"/>
  <c r="E26" i="1" s="1"/>
  <c r="E28" i="1" l="1"/>
  <c r="E32" i="1" s="1"/>
  <c r="H12" i="1"/>
  <c r="E20" i="1"/>
  <c r="H24" i="1" s="1"/>
  <c r="H15" i="1" l="1"/>
  <c r="H16" i="1" s="1"/>
  <c r="E31" i="1"/>
  <c r="E41" i="1" s="1"/>
</calcChain>
</file>

<file path=xl/sharedStrings.xml><?xml version="1.0" encoding="utf-8"?>
<sst xmlns="http://schemas.openxmlformats.org/spreadsheetml/2006/main" count="61" uniqueCount="51">
  <si>
    <t xml:space="preserve">Crop </t>
  </si>
  <si>
    <t>Seed</t>
  </si>
  <si>
    <t xml:space="preserve">Chemical </t>
  </si>
  <si>
    <t>Fertilizer</t>
  </si>
  <si>
    <t xml:space="preserve">Urea </t>
  </si>
  <si>
    <t>Yield</t>
  </si>
  <si>
    <t>Current Price</t>
  </si>
  <si>
    <t>Warehousing</t>
  </si>
  <si>
    <t>Variety</t>
  </si>
  <si>
    <t>Cost Per Month</t>
  </si>
  <si>
    <t xml:space="preserve">Months Stored </t>
  </si>
  <si>
    <t>Profit After Storage</t>
  </si>
  <si>
    <t>Harvest Costs</t>
  </si>
  <si>
    <t>Yield's Profit</t>
  </si>
  <si>
    <t>Total Storage Cost</t>
  </si>
  <si>
    <t xml:space="preserve"> </t>
  </si>
  <si>
    <t>Yield per acre (t/ac)</t>
  </si>
  <si>
    <t>Cost per Tonne</t>
  </si>
  <si>
    <t>Gross Revenue</t>
  </si>
  <si>
    <t>Margin Per Tonne</t>
  </si>
  <si>
    <t>Total Margin</t>
  </si>
  <si>
    <t xml:space="preserve">Total Acres </t>
  </si>
  <si>
    <t>Total Costs</t>
  </si>
  <si>
    <t>Profit Margin</t>
  </si>
  <si>
    <t>Grain Grade</t>
  </si>
  <si>
    <t>Acreage Margin Calculator</t>
  </si>
  <si>
    <t xml:space="preserve">Harvest Grain Pricing Sheet </t>
  </si>
  <si>
    <t>Seasonal Cycle</t>
  </si>
  <si>
    <t>El Niño</t>
  </si>
  <si>
    <t>La Niña</t>
  </si>
  <si>
    <t xml:space="preserve">Email: </t>
  </si>
  <si>
    <t xml:space="preserve">Creator: </t>
  </si>
  <si>
    <t>Robert Cain</t>
  </si>
  <si>
    <t>Sale Price</t>
  </si>
  <si>
    <t>Tonnes of Sale</t>
  </si>
  <si>
    <t>Cost Per Tonne</t>
  </si>
  <si>
    <t xml:space="preserve">Revenue </t>
  </si>
  <si>
    <t>Cost of Sale</t>
  </si>
  <si>
    <t>Tonnes of Sale Quick Calculator</t>
  </si>
  <si>
    <t>cainsolutions97@gmail.com</t>
  </si>
  <si>
    <t>Variables highlighted in Yellow are the inputs you can change that amend the pricing sheet, populating results automatically</t>
  </si>
  <si>
    <t>Total Tonnes</t>
  </si>
  <si>
    <t>Tonnes Harvested</t>
  </si>
  <si>
    <t>Legend</t>
  </si>
  <si>
    <t>Total Hectares</t>
  </si>
  <si>
    <t>Crop Acreage</t>
  </si>
  <si>
    <t>Yield per Hectare (t/hc)</t>
  </si>
  <si>
    <t>Total cost</t>
  </si>
  <si>
    <t>Cost per acre</t>
  </si>
  <si>
    <t>Cost per Hectare</t>
  </si>
  <si>
    <t xml:space="preserve">Crop Hectares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</si>
</sst>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rgb="FF3F3F76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0"/>
      <color rgb="FFE8E8E8"/>
      <name val="Arial"/>
      <family val="2"/>
    </font>
    <font>
      <sz val="12"/>
      <color rgb="FFFFFF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1" tint="0.249977111117893"/>
        <bgColor indexed="64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rgb="FF7F7F7F"/>
      </right>
      <top style="thick">
        <color indexed="64"/>
      </top>
      <bottom style="thin">
        <color rgb="FF7F7F7F"/>
      </bottom>
      <diagonal/>
    </border>
    <border>
      <left style="thin">
        <color rgb="FF7F7F7F"/>
      </left>
      <right style="thick">
        <color indexed="64"/>
      </right>
      <top style="thick">
        <color indexed="64"/>
      </top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ck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/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ck">
        <color indexed="64"/>
      </bottom>
      <diagonal/>
    </border>
    <border>
      <left style="thick">
        <color indexed="64"/>
      </left>
      <right/>
      <top style="thin">
        <color rgb="FF7F7F7F"/>
      </top>
      <bottom style="thin">
        <color indexed="64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5" fillId="5" borderId="0" applyNumberFormat="0" applyBorder="0" applyAlignment="0" applyProtection="0"/>
    <xf numFmtId="0" fontId="6" fillId="7" borderId="0" applyNumberFormat="0" applyBorder="0" applyAlignment="0" applyProtection="0"/>
    <xf numFmtId="0" fontId="19" fillId="11" borderId="0" applyNumberFormat="0" applyBorder="0" applyAlignment="0" applyProtection="0"/>
  </cellStyleXfs>
  <cellXfs count="117">
    <xf numFmtId="0" fontId="0" fillId="0" borderId="0" xfId="0"/>
    <xf numFmtId="0" fontId="0" fillId="0" borderId="4" xfId="0" applyBorder="1"/>
    <xf numFmtId="0" fontId="0" fillId="0" borderId="7" xfId="0" applyBorder="1"/>
    <xf numFmtId="0" fontId="0" fillId="0" borderId="0" xfId="0" applyBorder="1"/>
    <xf numFmtId="0" fontId="0" fillId="0" borderId="9" xfId="0" applyBorder="1"/>
    <xf numFmtId="0" fontId="0" fillId="0" borderId="0" xfId="0" applyFill="1" applyBorder="1"/>
    <xf numFmtId="0" fontId="0" fillId="0" borderId="0" xfId="0" applyFill="1"/>
    <xf numFmtId="0" fontId="7" fillId="7" borderId="4" xfId="5" applyFont="1" applyBorder="1"/>
    <xf numFmtId="0" fontId="4" fillId="0" borderId="0" xfId="0" applyFont="1" applyFill="1" applyBorder="1" applyAlignment="1">
      <alignment vertical="center"/>
    </xf>
    <xf numFmtId="164" fontId="7" fillId="0" borderId="5" xfId="0" applyNumberFormat="1" applyFont="1" applyBorder="1"/>
    <xf numFmtId="0" fontId="13" fillId="0" borderId="0" xfId="0" applyFont="1" applyBorder="1"/>
    <xf numFmtId="164" fontId="0" fillId="0" borderId="0" xfId="0" applyNumberFormat="1" applyBorder="1"/>
    <xf numFmtId="0" fontId="0" fillId="0" borderId="18" xfId="0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2" borderId="18" xfId="0" applyFill="1" applyBorder="1"/>
    <xf numFmtId="0" fontId="0" fillId="12" borderId="20" xfId="0" applyFill="1" applyBorder="1"/>
    <xf numFmtId="0" fontId="0" fillId="12" borderId="0" xfId="0" applyFill="1" applyBorder="1" applyAlignment="1">
      <alignment vertical="center"/>
    </xf>
    <xf numFmtId="0" fontId="0" fillId="12" borderId="0" xfId="0" applyFill="1" applyBorder="1"/>
    <xf numFmtId="0" fontId="0" fillId="12" borderId="0" xfId="0" applyFill="1" applyBorder="1" applyAlignment="1"/>
    <xf numFmtId="0" fontId="0" fillId="12" borderId="0" xfId="0" applyFill="1" applyBorder="1" applyAlignment="1">
      <alignment horizontal="center"/>
    </xf>
    <xf numFmtId="0" fontId="0" fillId="12" borderId="21" xfId="0" applyFill="1" applyBorder="1"/>
    <xf numFmtId="0" fontId="0" fillId="12" borderId="22" xfId="0" applyFill="1" applyBorder="1"/>
    <xf numFmtId="0" fontId="0" fillId="12" borderId="19" xfId="0" applyFill="1" applyBorder="1"/>
    <xf numFmtId="0" fontId="4" fillId="12" borderId="19" xfId="0" applyFont="1" applyFill="1" applyBorder="1" applyAlignment="1">
      <alignment vertical="center"/>
    </xf>
    <xf numFmtId="0" fontId="1" fillId="12" borderId="0" xfId="1" applyFill="1" applyBorder="1" applyAlignment="1">
      <alignment horizontal="center"/>
    </xf>
    <xf numFmtId="0" fontId="2" fillId="12" borderId="0" xfId="2" applyFill="1" applyBorder="1"/>
    <xf numFmtId="0" fontId="9" fillId="12" borderId="0" xfId="0" applyFont="1" applyFill="1" applyBorder="1" applyAlignment="1">
      <alignment horizontal="center"/>
    </xf>
    <xf numFmtId="0" fontId="11" fillId="9" borderId="3" xfId="3" applyFont="1" applyFill="1" applyBorder="1" applyAlignment="1">
      <alignment horizontal="center"/>
    </xf>
    <xf numFmtId="164" fontId="7" fillId="0" borderId="14" xfId="0" applyNumberFormat="1" applyFont="1" applyBorder="1"/>
    <xf numFmtId="0" fontId="20" fillId="11" borderId="15" xfId="6" applyFont="1" applyBorder="1" applyAlignment="1">
      <alignment horizontal="right" vertical="center"/>
    </xf>
    <xf numFmtId="0" fontId="20" fillId="11" borderId="20" xfId="6" applyFont="1" applyBorder="1" applyAlignment="1">
      <alignment horizontal="right" vertical="center"/>
    </xf>
    <xf numFmtId="0" fontId="21" fillId="11" borderId="16" xfId="6" applyFont="1" applyBorder="1" applyAlignment="1">
      <alignment horizontal="left" vertical="center"/>
    </xf>
    <xf numFmtId="0" fontId="21" fillId="11" borderId="17" xfId="6" applyFont="1" applyBorder="1" applyAlignment="1">
      <alignment horizontal="left" vertical="center"/>
    </xf>
    <xf numFmtId="0" fontId="21" fillId="11" borderId="21" xfId="6" applyFont="1" applyBorder="1" applyAlignment="1">
      <alignment horizontal="left" vertical="center"/>
    </xf>
    <xf numFmtId="0" fontId="21" fillId="11" borderId="22" xfId="6" applyFont="1" applyBorder="1" applyAlignment="1">
      <alignment horizontal="left" vertical="center"/>
    </xf>
    <xf numFmtId="0" fontId="15" fillId="10" borderId="31" xfId="0" applyNumberFormat="1" applyFont="1" applyFill="1" applyBorder="1" applyProtection="1">
      <protection locked="0"/>
    </xf>
    <xf numFmtId="164" fontId="15" fillId="10" borderId="33" xfId="0" applyNumberFormat="1" applyFont="1" applyFill="1" applyBorder="1" applyProtection="1">
      <protection locked="0"/>
    </xf>
    <xf numFmtId="164" fontId="16" fillId="0" borderId="33" xfId="0" applyNumberFormat="1" applyFont="1" applyBorder="1"/>
    <xf numFmtId="164" fontId="17" fillId="0" borderId="33" xfId="0" applyNumberFormat="1" applyFont="1" applyBorder="1"/>
    <xf numFmtId="164" fontId="17" fillId="0" borderId="35" xfId="0" applyNumberFormat="1" applyFont="1" applyBorder="1"/>
    <xf numFmtId="0" fontId="12" fillId="3" borderId="32" xfId="2" applyFont="1" applyBorder="1" applyAlignment="1"/>
    <xf numFmtId="0" fontId="12" fillId="3" borderId="32" xfId="2" applyFont="1" applyBorder="1"/>
    <xf numFmtId="0" fontId="12" fillId="3" borderId="38" xfId="2" applyFont="1" applyBorder="1"/>
    <xf numFmtId="0" fontId="12" fillId="3" borderId="39" xfId="2" applyFont="1" applyBorder="1"/>
    <xf numFmtId="0" fontId="0" fillId="9" borderId="23" xfId="0" applyFill="1" applyBorder="1"/>
    <xf numFmtId="0" fontId="12" fillId="3" borderId="41" xfId="2" applyFont="1" applyBorder="1"/>
    <xf numFmtId="0" fontId="12" fillId="3" borderId="42" xfId="2" applyFont="1" applyBorder="1"/>
    <xf numFmtId="0" fontId="12" fillId="3" borderId="43" xfId="2" applyFont="1" applyBorder="1"/>
    <xf numFmtId="0" fontId="0" fillId="0" borderId="45" xfId="0" applyBorder="1"/>
    <xf numFmtId="0" fontId="12" fillId="3" borderId="46" xfId="2" applyFont="1" applyBorder="1"/>
    <xf numFmtId="0" fontId="0" fillId="12" borderId="6" xfId="0" applyFill="1" applyBorder="1"/>
    <xf numFmtId="0" fontId="15" fillId="10" borderId="24" xfId="0" applyFont="1" applyFill="1" applyBorder="1" applyAlignment="1" applyProtection="1">
      <protection locked="0"/>
    </xf>
    <xf numFmtId="0" fontId="15" fillId="0" borderId="24" xfId="0" applyFont="1" applyBorder="1" applyAlignment="1"/>
    <xf numFmtId="164" fontId="16" fillId="0" borderId="24" xfId="0" applyNumberFormat="1" applyFont="1" applyBorder="1" applyAlignment="1"/>
    <xf numFmtId="164" fontId="15" fillId="10" borderId="24" xfId="0" applyNumberFormat="1" applyFont="1" applyFill="1" applyBorder="1" applyAlignment="1" applyProtection="1">
      <protection locked="0"/>
    </xf>
    <xf numFmtId="164" fontId="17" fillId="0" borderId="24" xfId="0" applyNumberFormat="1" applyFont="1" applyBorder="1" applyAlignment="1"/>
    <xf numFmtId="164" fontId="15" fillId="0" borderId="24" xfId="0" applyNumberFormat="1" applyFont="1" applyBorder="1" applyAlignment="1"/>
    <xf numFmtId="164" fontId="17" fillId="0" borderId="44" xfId="0" applyNumberFormat="1" applyFont="1" applyBorder="1" applyAlignment="1">
      <alignment horizontal="right"/>
    </xf>
    <xf numFmtId="164" fontId="17" fillId="0" borderId="25" xfId="0" applyNumberFormat="1" applyFont="1" applyBorder="1" applyAlignment="1">
      <alignment horizontal="right"/>
    </xf>
    <xf numFmtId="164" fontId="15" fillId="10" borderId="12" xfId="0" applyNumberFormat="1" applyFont="1" applyFill="1" applyBorder="1" applyProtection="1">
      <protection locked="0"/>
    </xf>
    <xf numFmtId="164" fontId="15" fillId="0" borderId="33" xfId="0" applyNumberFormat="1" applyFont="1" applyBorder="1" applyAlignment="1"/>
    <xf numFmtId="164" fontId="15" fillId="10" borderId="3" xfId="0" applyNumberFormat="1" applyFont="1" applyFill="1" applyBorder="1" applyProtection="1">
      <protection locked="0"/>
    </xf>
    <xf numFmtId="164" fontId="15" fillId="10" borderId="13" xfId="0" applyNumberFormat="1" applyFont="1" applyFill="1" applyBorder="1" applyProtection="1">
      <protection locked="0"/>
    </xf>
    <xf numFmtId="0" fontId="15" fillId="0" borderId="14" xfId="0" applyFont="1" applyBorder="1"/>
    <xf numFmtId="0" fontId="15" fillId="0" borderId="40" xfId="0" applyFont="1" applyBorder="1"/>
    <xf numFmtId="164" fontId="16" fillId="0" borderId="25" xfId="0" applyNumberFormat="1" applyFont="1" applyBorder="1"/>
    <xf numFmtId="164" fontId="17" fillId="0" borderId="25" xfId="0" applyNumberFormat="1" applyFont="1" applyBorder="1" applyAlignment="1"/>
    <xf numFmtId="164" fontId="15" fillId="10" borderId="44" xfId="0" applyNumberFormat="1" applyFont="1" applyFill="1" applyBorder="1" applyAlignment="1" applyProtection="1">
      <protection locked="0"/>
    </xf>
    <xf numFmtId="0" fontId="15" fillId="10" borderId="24" xfId="0" applyNumberFormat="1" applyFont="1" applyFill="1" applyBorder="1" applyAlignment="1" applyProtection="1">
      <protection locked="0"/>
    </xf>
    <xf numFmtId="164" fontId="16" fillId="0" borderId="37" xfId="0" applyNumberFormat="1" applyFont="1" applyBorder="1" applyAlignment="1"/>
    <xf numFmtId="0" fontId="12" fillId="3" borderId="34" xfId="2" applyFont="1" applyBorder="1"/>
    <xf numFmtId="0" fontId="12" fillId="3" borderId="30" xfId="2" applyFont="1" applyBorder="1"/>
    <xf numFmtId="0" fontId="12" fillId="3" borderId="28" xfId="2" applyFont="1" applyBorder="1" applyProtection="1">
      <protection locked="0"/>
    </xf>
    <xf numFmtId="0" fontId="12" fillId="3" borderId="38" xfId="2" applyFont="1" applyBorder="1" applyProtection="1">
      <protection locked="0"/>
    </xf>
    <xf numFmtId="0" fontId="12" fillId="3" borderId="42" xfId="2" applyFont="1" applyBorder="1" applyProtection="1">
      <protection locked="0"/>
    </xf>
    <xf numFmtId="0" fontId="11" fillId="9" borderId="24" xfId="3" applyFont="1" applyFill="1" applyBorder="1" applyAlignment="1" applyProtection="1">
      <alignment horizontal="center"/>
      <protection locked="0"/>
    </xf>
    <xf numFmtId="0" fontId="8" fillId="2" borderId="7" xfId="1" applyFont="1" applyBorder="1" applyAlignment="1">
      <alignment horizontal="center" vertical="center"/>
    </xf>
    <xf numFmtId="0" fontId="8" fillId="2" borderId="8" xfId="1" applyFont="1" applyBorder="1" applyAlignment="1">
      <alignment horizontal="center" vertical="center"/>
    </xf>
    <xf numFmtId="0" fontId="8" fillId="2" borderId="9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10" fillId="5" borderId="26" xfId="4" applyFont="1" applyBorder="1" applyAlignment="1">
      <alignment horizontal="center" vertical="center"/>
    </xf>
    <xf numFmtId="0" fontId="10" fillId="5" borderId="27" xfId="4" applyFont="1" applyBorder="1" applyAlignment="1">
      <alignment horizontal="center" vertical="center"/>
    </xf>
    <xf numFmtId="0" fontId="10" fillId="5" borderId="28" xfId="4" applyFont="1" applyBorder="1" applyAlignment="1">
      <alignment horizontal="center" vertical="center"/>
    </xf>
    <xf numFmtId="0" fontId="10" fillId="5" borderId="29" xfId="4" applyFont="1" applyBorder="1" applyAlignment="1">
      <alignment horizontal="center" vertic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10" fillId="5" borderId="15" xfId="4" applyFont="1" applyBorder="1" applyAlignment="1">
      <alignment horizontal="center" vertical="center"/>
    </xf>
    <xf numFmtId="0" fontId="10" fillId="5" borderId="16" xfId="4" applyFont="1" applyBorder="1" applyAlignment="1">
      <alignment horizontal="center" vertical="center"/>
    </xf>
    <xf numFmtId="0" fontId="10" fillId="5" borderId="17" xfId="4" applyFont="1" applyBorder="1" applyAlignment="1">
      <alignment horizontal="center" vertical="center"/>
    </xf>
    <xf numFmtId="0" fontId="10" fillId="5" borderId="18" xfId="4" applyFont="1" applyBorder="1" applyAlignment="1">
      <alignment horizontal="center" vertical="center"/>
    </xf>
    <xf numFmtId="0" fontId="10" fillId="5" borderId="0" xfId="4" applyFont="1" applyBorder="1" applyAlignment="1">
      <alignment horizontal="center" vertical="center"/>
    </xf>
    <xf numFmtId="0" fontId="10" fillId="5" borderId="19" xfId="4" applyFont="1" applyBorder="1" applyAlignment="1">
      <alignment horizontal="center" vertical="center"/>
    </xf>
    <xf numFmtId="0" fontId="18" fillId="8" borderId="15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0" fillId="5" borderId="36" xfId="4" applyFont="1" applyBorder="1" applyAlignment="1">
      <alignment horizontal="center" vertical="center"/>
    </xf>
    <xf numFmtId="0" fontId="10" fillId="5" borderId="10" xfId="4" applyFont="1" applyBorder="1" applyAlignment="1">
      <alignment horizontal="center" vertical="center"/>
    </xf>
    <xf numFmtId="0" fontId="10" fillId="5" borderId="37" xfId="4" applyFont="1" applyBorder="1" applyAlignment="1">
      <alignment horizontal="center" vertical="center"/>
    </xf>
    <xf numFmtId="0" fontId="15" fillId="10" borderId="4" xfId="0" applyFont="1" applyFill="1" applyBorder="1" applyAlignment="1" applyProtection="1">
      <alignment horizontal="center"/>
      <protection locked="0"/>
    </xf>
    <xf numFmtId="0" fontId="15" fillId="10" borderId="24" xfId="0" applyFont="1" applyFill="1" applyBorder="1" applyAlignment="1" applyProtection="1">
      <alignment horizontal="center"/>
      <protection locked="0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4" xfId="0" applyFont="1" applyBorder="1" applyAlignment="1" applyProtection="1">
      <alignment horizontal="center"/>
      <protection locked="0"/>
    </xf>
    <xf numFmtId="0" fontId="15" fillId="10" borderId="40" xfId="0" applyFont="1" applyFill="1" applyBorder="1" applyAlignment="1" applyProtection="1">
      <alignment horizontal="center"/>
      <protection locked="0"/>
    </xf>
    <xf numFmtId="0" fontId="15" fillId="10" borderId="25" xfId="0" applyFont="1" applyFill="1" applyBorder="1" applyAlignment="1" applyProtection="1">
      <alignment horizontal="center"/>
      <protection locked="0"/>
    </xf>
    <xf numFmtId="0" fontId="14" fillId="9" borderId="18" xfId="0" applyFont="1" applyFill="1" applyBorder="1" applyAlignment="1">
      <alignment horizontal="center" vertical="top" wrapText="1"/>
    </xf>
    <xf numFmtId="0" fontId="14" fillId="9" borderId="19" xfId="0" applyFont="1" applyFill="1" applyBorder="1" applyAlignment="1">
      <alignment horizontal="center" vertical="top" wrapText="1"/>
    </xf>
    <xf numFmtId="0" fontId="14" fillId="9" borderId="20" xfId="0" applyFont="1" applyFill="1" applyBorder="1" applyAlignment="1">
      <alignment horizontal="center" vertical="top" wrapText="1"/>
    </xf>
    <xf numFmtId="0" fontId="14" fillId="9" borderId="22" xfId="0" applyFont="1" applyFill="1" applyBorder="1" applyAlignment="1">
      <alignment horizontal="center" vertical="top" wrapText="1"/>
    </xf>
    <xf numFmtId="0" fontId="1" fillId="6" borderId="18" xfId="1" applyFill="1" applyBorder="1" applyAlignment="1">
      <alignment horizontal="center"/>
    </xf>
    <xf numFmtId="0" fontId="1" fillId="6" borderId="0" xfId="1" applyFill="1" applyBorder="1" applyAlignment="1">
      <alignment horizontal="center"/>
    </xf>
    <xf numFmtId="0" fontId="1" fillId="6" borderId="19" xfId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2" fillId="3" borderId="47" xfId="2" applyFont="1" applyBorder="1"/>
    <xf numFmtId="0" fontId="11" fillId="0" borderId="0" xfId="3" applyFont="1" applyFill="1" applyBorder="1" applyAlignment="1">
      <alignment horizontal="center"/>
    </xf>
  </cellXfs>
  <cellStyles count="7">
    <cellStyle name="20% - Accent4" xfId="5" builtinId="42"/>
    <cellStyle name="Accent3" xfId="4" builtinId="37"/>
    <cellStyle name="Bad" xfId="6" builtinId="27"/>
    <cellStyle name="Calculation" xfId="2" builtinId="22"/>
    <cellStyle name="Check Cell" xfId="3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95065970885337"/>
          <c:y val="2.6982413953854596E-2"/>
          <c:w val="0.71818683649915249"/>
          <c:h val="0.85732693598359266"/>
        </c:manualLayout>
      </c:layout>
      <c:pieChart>
        <c:varyColors val="1"/>
        <c:ser>
          <c:idx val="0"/>
          <c:order val="0"/>
          <c:tx>
            <c:strRef>
              <c:f>'Pricing sheet'!$G$18</c:f>
              <c:strCache>
                <c:ptCount val="1"/>
                <c:pt idx="0">
                  <c:v>Acreage Margin Calculator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FA-4D6A-90E6-75DF487A3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FA-4D6A-90E6-75DF487A37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2FA-4D6A-90E6-75DF487A37B1}"/>
              </c:ext>
            </c:extLst>
          </c:dPt>
          <c:dPt>
            <c:idx val="3"/>
            <c:bubble3D val="0"/>
            <c:explosion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2FA-4D6A-90E6-75DF487A37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2FA-4D6A-90E6-75DF487A3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'Pricing sheet'!$G$20:$G$24</c:f>
              <c:strCache>
                <c:ptCount val="5"/>
                <c:pt idx="0">
                  <c:v>Seed</c:v>
                </c:pt>
                <c:pt idx="1">
                  <c:v>Fertilizer</c:v>
                </c:pt>
                <c:pt idx="2">
                  <c:v>Chemical </c:v>
                </c:pt>
                <c:pt idx="3">
                  <c:v>Urea </c:v>
                </c:pt>
                <c:pt idx="4">
                  <c:v>Profit Margin</c:v>
                </c:pt>
              </c:strCache>
            </c:strRef>
          </c:cat>
          <c:val>
            <c:numRef>
              <c:f>'Pricing sheet'!$H$20:$H$24</c:f>
              <c:numCache>
                <c:formatCode>"$"#,##0.00</c:formatCode>
                <c:ptCount val="5"/>
                <c:pt idx="0">
                  <c:v>312.5</c:v>
                </c:pt>
                <c:pt idx="1">
                  <c:v>625</c:v>
                </c:pt>
                <c:pt idx="2">
                  <c:v>312.5</c:v>
                </c:pt>
                <c:pt idx="3">
                  <c:v>5000</c:v>
                </c:pt>
                <c:pt idx="4">
                  <c:v>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7-4273-BC2A-5939F7C7D46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249566597734446E-3"/>
          <c:y val="0.886764911194729"/>
          <c:w val="0.99437504334022653"/>
          <c:h val="0.1132350888052709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536852</xdr:colOff>
      <xdr:row>24</xdr:row>
      <xdr:rowOff>6414</xdr:rowOff>
    </xdr:from>
    <xdr:to>
      <xdr:col>8</xdr:col>
      <xdr:colOff>0</xdr:colOff>
      <xdr:row>40</xdr:row>
      <xdr:rowOff>199030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36F783-CA59-4228-C3DA-7B412740C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insolutions9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D6C9-AC1F-4A7A-907F-B97E970DD716}">
  <dimension ref="B1:T46"/>
  <sheetViews>
    <sheetView showGridLines="0" tabSelected="1" zoomScale="67" zoomScaleNormal="55" workbookViewId="0">
      <selection activeCell="E14" sqref="E14"/>
    </sheetView>
  </sheetViews>
  <sheetFormatPr defaultRowHeight="14.5" x14ac:dyDescent="0.35"/>
  <cols>
    <col min="1" max="1" width="2.54296875" customWidth="1"/>
    <col min="2" max="2" width="3.36328125" customWidth="1"/>
    <col min="3" max="3" width="22" bestFit="1" customWidth="1"/>
    <col min="4" max="4" width="15.6328125" bestFit="1" customWidth="1"/>
    <col min="5" max="5" width="19" customWidth="1"/>
    <col min="6" max="6" width="7.7265625" customWidth="1"/>
    <col min="7" max="7" width="25.7265625" customWidth="1"/>
    <col min="8" max="8" width="29.1796875" customWidth="1"/>
    <col min="9" max="9" width="4" customWidth="1"/>
  </cols>
  <sheetData>
    <row r="1" spans="2:10" ht="15" thickBot="1" x14ac:dyDescent="0.4"/>
    <row r="2" spans="2:10" ht="19.5" customHeight="1" thickTop="1" thickBot="1" x14ac:dyDescent="0.4">
      <c r="B2" s="13"/>
      <c r="C2" s="14"/>
      <c r="D2" s="14"/>
      <c r="E2" s="14"/>
      <c r="F2" s="14"/>
      <c r="G2" s="14"/>
      <c r="H2" s="14"/>
      <c r="I2" s="15"/>
    </row>
    <row r="3" spans="2:10" ht="21.5" thickTop="1" x14ac:dyDescent="0.35">
      <c r="B3" s="16"/>
      <c r="C3" s="88" t="s">
        <v>26</v>
      </c>
      <c r="D3" s="89"/>
      <c r="E3" s="90"/>
      <c r="F3" s="18"/>
      <c r="G3" s="94" t="s">
        <v>43</v>
      </c>
      <c r="H3" s="95"/>
      <c r="I3" s="24"/>
    </row>
    <row r="4" spans="2:10" ht="16" customHeight="1" x14ac:dyDescent="0.35">
      <c r="B4" s="16"/>
      <c r="C4" s="96"/>
      <c r="D4" s="97"/>
      <c r="E4" s="98"/>
      <c r="F4" s="18"/>
      <c r="G4" s="105" t="s">
        <v>40</v>
      </c>
      <c r="H4" s="106"/>
      <c r="I4" s="24"/>
    </row>
    <row r="5" spans="2:10" ht="16" customHeight="1" thickBot="1" x14ac:dyDescent="0.45">
      <c r="B5" s="16"/>
      <c r="C5" s="42" t="s">
        <v>0</v>
      </c>
      <c r="D5" s="101"/>
      <c r="E5" s="102"/>
      <c r="F5" s="19"/>
      <c r="G5" s="107"/>
      <c r="H5" s="108"/>
      <c r="I5" s="25"/>
      <c r="J5" s="8"/>
    </row>
    <row r="6" spans="2:10" ht="16.5" thickTop="1" x14ac:dyDescent="0.4">
      <c r="B6" s="16"/>
      <c r="C6" s="43" t="s">
        <v>8</v>
      </c>
      <c r="D6" s="101"/>
      <c r="E6" s="102"/>
      <c r="F6" s="19"/>
      <c r="G6" s="19"/>
      <c r="H6" s="19"/>
      <c r="I6" s="25"/>
      <c r="J6" s="8"/>
    </row>
    <row r="7" spans="2:10" ht="16" customHeight="1" thickBot="1" x14ac:dyDescent="0.45">
      <c r="B7" s="16"/>
      <c r="C7" s="43" t="s">
        <v>24</v>
      </c>
      <c r="D7" s="101"/>
      <c r="E7" s="102"/>
      <c r="F7" s="19"/>
      <c r="G7" s="19"/>
      <c r="H7" s="19"/>
      <c r="I7" s="24"/>
      <c r="J7" s="6"/>
    </row>
    <row r="8" spans="2:10" ht="16.5" customHeight="1" thickTop="1" x14ac:dyDescent="0.4">
      <c r="B8" s="16"/>
      <c r="C8" s="74" t="s">
        <v>44</v>
      </c>
      <c r="D8" s="99">
        <v>800</v>
      </c>
      <c r="E8" s="100"/>
      <c r="F8" s="19"/>
      <c r="G8" s="82" t="s">
        <v>38</v>
      </c>
      <c r="H8" s="83"/>
      <c r="I8" s="24"/>
    </row>
    <row r="9" spans="2:10" ht="23.5" customHeight="1" x14ac:dyDescent="0.4">
      <c r="B9" s="16"/>
      <c r="C9" s="75" t="s">
        <v>50</v>
      </c>
      <c r="D9" s="99">
        <v>50</v>
      </c>
      <c r="E9" s="100"/>
      <c r="F9" s="19"/>
      <c r="G9" s="84"/>
      <c r="H9" s="85"/>
      <c r="I9" s="24"/>
    </row>
    <row r="10" spans="2:10" ht="16.5" thickBot="1" x14ac:dyDescent="0.45">
      <c r="B10" s="16"/>
      <c r="C10" s="45" t="s">
        <v>27</v>
      </c>
      <c r="D10" s="103"/>
      <c r="E10" s="104"/>
      <c r="F10" s="19"/>
      <c r="G10" s="73" t="s">
        <v>34</v>
      </c>
      <c r="H10" s="37">
        <v>40</v>
      </c>
      <c r="I10" s="24"/>
    </row>
    <row r="11" spans="2:10" ht="17" thickTop="1" thickBot="1" x14ac:dyDescent="0.45">
      <c r="B11" s="16"/>
      <c r="C11" s="27"/>
      <c r="D11" s="28"/>
      <c r="E11" s="28"/>
      <c r="F11" s="19"/>
      <c r="G11" s="43" t="s">
        <v>33</v>
      </c>
      <c r="H11" s="38">
        <v>350</v>
      </c>
      <c r="I11" s="24"/>
    </row>
    <row r="12" spans="2:10" ht="18" customHeight="1" thickTop="1" x14ac:dyDescent="0.4">
      <c r="B12" s="16"/>
      <c r="C12" s="88" t="s">
        <v>12</v>
      </c>
      <c r="D12" s="89"/>
      <c r="E12" s="90"/>
      <c r="F12" s="19"/>
      <c r="G12" s="43" t="s">
        <v>35</v>
      </c>
      <c r="H12" s="39">
        <f>E26</f>
        <v>156.25</v>
      </c>
      <c r="I12" s="24"/>
    </row>
    <row r="13" spans="2:10" s="6" customFormat="1" ht="16" customHeight="1" x14ac:dyDescent="0.35">
      <c r="B13" s="16"/>
      <c r="C13" s="96"/>
      <c r="D13" s="97"/>
      <c r="E13" s="98"/>
      <c r="F13" s="19"/>
      <c r="G13" s="86"/>
      <c r="H13" s="87"/>
      <c r="I13" s="24"/>
    </row>
    <row r="14" spans="2:10" ht="18.5" x14ac:dyDescent="0.45">
      <c r="B14" s="16"/>
      <c r="C14" s="46"/>
      <c r="D14" s="29" t="s">
        <v>22</v>
      </c>
      <c r="E14" s="77" t="s">
        <v>49</v>
      </c>
      <c r="F14" s="20"/>
      <c r="G14" s="43" t="s">
        <v>36</v>
      </c>
      <c r="H14" s="40">
        <f>H10*H11</f>
        <v>14000</v>
      </c>
      <c r="I14" s="24"/>
    </row>
    <row r="15" spans="2:10" ht="16" x14ac:dyDescent="0.4">
      <c r="B15" s="16"/>
      <c r="C15" s="43" t="s">
        <v>1</v>
      </c>
      <c r="D15" s="61">
        <v>5000</v>
      </c>
      <c r="E15" s="62">
        <f>D15/$D$8</f>
        <v>6.25</v>
      </c>
      <c r="F15" s="21"/>
      <c r="G15" s="43" t="s">
        <v>37</v>
      </c>
      <c r="H15" s="39">
        <f>H10*H12</f>
        <v>6250</v>
      </c>
      <c r="I15" s="24"/>
    </row>
    <row r="16" spans="2:10" ht="16.5" thickBot="1" x14ac:dyDescent="0.45">
      <c r="B16" s="16"/>
      <c r="C16" s="43" t="s">
        <v>3</v>
      </c>
      <c r="D16" s="63">
        <v>10000</v>
      </c>
      <c r="E16" s="62">
        <f>D16/$D$8</f>
        <v>12.5</v>
      </c>
      <c r="F16" s="19"/>
      <c r="G16" s="72" t="s">
        <v>23</v>
      </c>
      <c r="H16" s="41">
        <f>H14-H15</f>
        <v>7750</v>
      </c>
      <c r="I16" s="24"/>
    </row>
    <row r="17" spans="2:10" ht="23.5" customHeight="1" thickTop="1" x14ac:dyDescent="0.4">
      <c r="B17" s="16"/>
      <c r="C17" s="43" t="s">
        <v>2</v>
      </c>
      <c r="D17" s="63">
        <v>5000</v>
      </c>
      <c r="E17" s="62">
        <f>D17/$D$8</f>
        <v>6.25</v>
      </c>
      <c r="F17" s="19"/>
      <c r="G17" s="19"/>
      <c r="H17" s="19"/>
      <c r="I17" s="24"/>
    </row>
    <row r="18" spans="2:10" ht="16" customHeight="1" x14ac:dyDescent="0.4">
      <c r="B18" s="16"/>
      <c r="C18" s="43" t="s">
        <v>4</v>
      </c>
      <c r="D18" s="64">
        <v>80000</v>
      </c>
      <c r="E18" s="62">
        <f>D18/$D$8</f>
        <v>100</v>
      </c>
      <c r="F18" s="19"/>
      <c r="G18" s="78" t="s">
        <v>25</v>
      </c>
      <c r="H18" s="79"/>
      <c r="I18" s="24"/>
    </row>
    <row r="19" spans="2:10" ht="23.5" customHeight="1" x14ac:dyDescent="0.4">
      <c r="B19" s="16"/>
      <c r="C19" s="47" t="s">
        <v>49</v>
      </c>
      <c r="D19" s="65"/>
      <c r="E19" s="55">
        <f>SUM(E15:E18)</f>
        <v>125</v>
      </c>
      <c r="F19" s="19"/>
      <c r="G19" s="80"/>
      <c r="H19" s="81"/>
      <c r="I19" s="24"/>
    </row>
    <row r="20" spans="2:10" ht="19" thickBot="1" x14ac:dyDescent="0.5">
      <c r="B20" s="16"/>
      <c r="C20" s="45" t="s">
        <v>47</v>
      </c>
      <c r="D20" s="66"/>
      <c r="E20" s="67">
        <f>E19*D9</f>
        <v>6250</v>
      </c>
      <c r="F20" s="19"/>
      <c r="G20" s="7" t="s">
        <v>1</v>
      </c>
      <c r="H20" s="9">
        <f>E15*$D$9</f>
        <v>312.5</v>
      </c>
      <c r="I20" s="24"/>
    </row>
    <row r="21" spans="2:10" ht="19.5" thickTop="1" thickBot="1" x14ac:dyDescent="0.5">
      <c r="B21" s="16"/>
      <c r="C21" s="26"/>
      <c r="D21" s="26"/>
      <c r="E21" s="26"/>
      <c r="F21" s="19"/>
      <c r="G21" s="7" t="s">
        <v>3</v>
      </c>
      <c r="H21" s="9">
        <f>E16*$D$9</f>
        <v>625</v>
      </c>
      <c r="I21" s="24"/>
    </row>
    <row r="22" spans="2:10" s="5" customFormat="1" ht="19" thickTop="1" x14ac:dyDescent="0.45">
      <c r="B22" s="16"/>
      <c r="C22" s="88" t="s">
        <v>5</v>
      </c>
      <c r="D22" s="89"/>
      <c r="E22" s="90"/>
      <c r="F22" s="19"/>
      <c r="G22" s="7" t="s">
        <v>2</v>
      </c>
      <c r="H22" s="9">
        <f>E17*$D$9</f>
        <v>312.5</v>
      </c>
      <c r="I22" s="24"/>
    </row>
    <row r="23" spans="2:10" s="5" customFormat="1" ht="18.5" x14ac:dyDescent="0.45">
      <c r="B23" s="16"/>
      <c r="C23" s="91"/>
      <c r="D23" s="92"/>
      <c r="E23" s="93"/>
      <c r="F23" s="19"/>
      <c r="G23" s="7" t="s">
        <v>4</v>
      </c>
      <c r="H23" s="9">
        <f>E18*$D$9</f>
        <v>5000</v>
      </c>
      <c r="I23" s="24"/>
    </row>
    <row r="24" spans="2:10" ht="18.5" x14ac:dyDescent="0.45">
      <c r="B24" s="16"/>
      <c r="C24" s="48" t="s">
        <v>42</v>
      </c>
      <c r="D24" s="1"/>
      <c r="E24" s="53">
        <v>40</v>
      </c>
      <c r="F24" s="20"/>
      <c r="G24" s="7" t="s">
        <v>23</v>
      </c>
      <c r="H24" s="30">
        <f>E29-E20</f>
        <v>7750</v>
      </c>
      <c r="I24" s="19"/>
      <c r="J24" s="12"/>
    </row>
    <row r="25" spans="2:10" ht="16" x14ac:dyDescent="0.4">
      <c r="B25" s="16"/>
      <c r="C25" s="76" t="s">
        <v>46</v>
      </c>
      <c r="D25" s="1"/>
      <c r="E25" s="54">
        <f>E24/$D$9</f>
        <v>0.8</v>
      </c>
      <c r="F25" s="20"/>
      <c r="G25" s="3"/>
      <c r="H25" s="3"/>
      <c r="I25" s="24"/>
    </row>
    <row r="26" spans="2:10" ht="16" x14ac:dyDescent="0.4">
      <c r="B26" s="16"/>
      <c r="C26" s="48" t="s">
        <v>17</v>
      </c>
      <c r="D26" s="1"/>
      <c r="E26" s="55">
        <f xml:space="preserve"> E19/ (E24 / $D$9)</f>
        <v>156.25</v>
      </c>
      <c r="F26" s="19"/>
      <c r="G26" s="5" t="s">
        <v>28</v>
      </c>
      <c r="H26" s="3"/>
      <c r="I26" s="24"/>
    </row>
    <row r="27" spans="2:10" ht="16" x14ac:dyDescent="0.4">
      <c r="B27" s="16"/>
      <c r="C27" s="48" t="s">
        <v>6</v>
      </c>
      <c r="D27" s="1"/>
      <c r="E27" s="56">
        <v>350</v>
      </c>
      <c r="F27" s="19"/>
      <c r="G27" s="10" t="s">
        <v>29</v>
      </c>
      <c r="H27" s="3"/>
      <c r="I27" s="24"/>
    </row>
    <row r="28" spans="2:10" ht="16" x14ac:dyDescent="0.4">
      <c r="B28" s="16"/>
      <c r="C28" s="48" t="s">
        <v>19</v>
      </c>
      <c r="D28" s="1"/>
      <c r="E28" s="57">
        <f>E27-E26</f>
        <v>193.75</v>
      </c>
      <c r="F28" s="19"/>
      <c r="H28" s="5"/>
      <c r="I28" s="24"/>
    </row>
    <row r="29" spans="2:10" ht="16" x14ac:dyDescent="0.4">
      <c r="B29" s="16"/>
      <c r="C29" s="48" t="s">
        <v>18</v>
      </c>
      <c r="D29" s="1"/>
      <c r="E29" s="58">
        <f>E24*E27</f>
        <v>14000</v>
      </c>
      <c r="F29" s="19"/>
      <c r="H29" s="5"/>
      <c r="I29" s="24"/>
    </row>
    <row r="30" spans="2:10" x14ac:dyDescent="0.35">
      <c r="B30" s="16"/>
      <c r="C30" s="109"/>
      <c r="D30" s="110"/>
      <c r="E30" s="111"/>
      <c r="F30" s="19"/>
      <c r="G30" t="s">
        <v>46</v>
      </c>
      <c r="H30" s="3"/>
      <c r="I30" s="24"/>
    </row>
    <row r="31" spans="2:10" ht="16" x14ac:dyDescent="0.4">
      <c r="B31" s="16"/>
      <c r="C31" s="49" t="s">
        <v>13</v>
      </c>
      <c r="D31" s="2"/>
      <c r="E31" s="59">
        <f>E29-E20</f>
        <v>7750</v>
      </c>
      <c r="F31" s="19"/>
      <c r="G31" t="s">
        <v>16</v>
      </c>
      <c r="H31" s="11"/>
      <c r="I31" s="24"/>
    </row>
    <row r="32" spans="2:10" ht="19" thickBot="1" x14ac:dyDescent="0.5">
      <c r="B32" s="16"/>
      <c r="C32" s="45" t="s">
        <v>20</v>
      </c>
      <c r="D32" s="50"/>
      <c r="E32" s="60">
        <f>E28*E24</f>
        <v>7750</v>
      </c>
      <c r="F32" s="19"/>
      <c r="G32" s="115" t="s">
        <v>44</v>
      </c>
      <c r="H32" s="116"/>
      <c r="I32" s="24"/>
    </row>
    <row r="33" spans="2:20" ht="19.5" thickTop="1" thickBot="1" x14ac:dyDescent="0.5">
      <c r="B33" s="16"/>
      <c r="C33" s="52"/>
      <c r="D33" s="19"/>
      <c r="E33" s="19"/>
      <c r="F33" s="19"/>
      <c r="G33" s="115" t="s">
        <v>21</v>
      </c>
      <c r="H33" s="116"/>
      <c r="I33" s="24"/>
      <c r="T33" t="s">
        <v>15</v>
      </c>
    </row>
    <row r="34" spans="2:20" s="5" customFormat="1" ht="15" thickTop="1" x14ac:dyDescent="0.35">
      <c r="B34" s="16"/>
      <c r="C34" s="88" t="s">
        <v>7</v>
      </c>
      <c r="D34" s="89"/>
      <c r="E34" s="90"/>
      <c r="F34" s="19"/>
      <c r="H34" s="3"/>
      <c r="I34" s="24"/>
    </row>
    <row r="35" spans="2:20" s="5" customFormat="1" ht="16" x14ac:dyDescent="0.4">
      <c r="B35" s="16"/>
      <c r="C35" s="91"/>
      <c r="D35" s="92"/>
      <c r="E35" s="93"/>
      <c r="F35" s="19"/>
      <c r="G35" s="44" t="s">
        <v>50</v>
      </c>
      <c r="H35" s="3"/>
      <c r="I35" s="24"/>
    </row>
    <row r="36" spans="2:20" ht="16" x14ac:dyDescent="0.4">
      <c r="B36" s="16"/>
      <c r="C36" s="48" t="s">
        <v>9</v>
      </c>
      <c r="D36" s="2"/>
      <c r="E36" s="69">
        <v>2</v>
      </c>
      <c r="F36" s="20"/>
      <c r="G36" s="44" t="s">
        <v>45</v>
      </c>
      <c r="H36" s="3"/>
      <c r="I36" s="24"/>
    </row>
    <row r="37" spans="2:20" ht="16" x14ac:dyDescent="0.4">
      <c r="B37" s="16"/>
      <c r="C37" s="48" t="s">
        <v>41</v>
      </c>
      <c r="D37" s="1"/>
      <c r="E37" s="53">
        <v>40</v>
      </c>
      <c r="F37" s="19"/>
      <c r="H37" s="3"/>
      <c r="I37" s="24"/>
    </row>
    <row r="38" spans="2:20" ht="16" x14ac:dyDescent="0.4">
      <c r="B38" s="16"/>
      <c r="C38" s="48" t="s">
        <v>10</v>
      </c>
      <c r="D38" s="1"/>
      <c r="E38" s="70">
        <f>6</f>
        <v>6</v>
      </c>
      <c r="F38" s="19"/>
      <c r="G38" s="47" t="s">
        <v>49</v>
      </c>
      <c r="H38" s="3"/>
      <c r="I38" s="24"/>
    </row>
    <row r="39" spans="2:20" ht="16" x14ac:dyDescent="0.4">
      <c r="B39" s="16"/>
      <c r="C39" s="48" t="s">
        <v>14</v>
      </c>
      <c r="D39" s="4"/>
      <c r="E39" s="71">
        <f>(E36*E37)*E38</f>
        <v>480</v>
      </c>
      <c r="F39" s="19"/>
      <c r="G39" s="47" t="s">
        <v>48</v>
      </c>
      <c r="H39" s="3"/>
      <c r="I39" s="24"/>
    </row>
    <row r="40" spans="2:20" x14ac:dyDescent="0.35">
      <c r="B40" s="16"/>
      <c r="C40" s="112"/>
      <c r="D40" s="113"/>
      <c r="E40" s="114"/>
      <c r="F40" s="19"/>
      <c r="H40" s="5"/>
      <c r="I40" s="24"/>
    </row>
    <row r="41" spans="2:20" ht="16.5" thickBot="1" x14ac:dyDescent="0.45">
      <c r="B41" s="16"/>
      <c r="C41" s="51" t="s">
        <v>11</v>
      </c>
      <c r="D41" s="50"/>
      <c r="E41" s="68">
        <f>E31-E39</f>
        <v>7270</v>
      </c>
      <c r="F41" s="19"/>
      <c r="G41" s="5"/>
      <c r="H41" s="5"/>
      <c r="I41" s="24"/>
    </row>
    <row r="42" spans="2:20" ht="20.5" customHeight="1" thickTop="1" thickBot="1" x14ac:dyDescent="0.4">
      <c r="B42" s="17"/>
      <c r="C42" s="22"/>
      <c r="D42" s="22"/>
      <c r="E42" s="22"/>
      <c r="F42" s="22"/>
      <c r="G42" s="22"/>
      <c r="H42" s="22"/>
      <c r="I42" s="23"/>
    </row>
    <row r="43" spans="2:20" ht="15.5" thickTop="1" thickBot="1" x14ac:dyDescent="0.4"/>
    <row r="44" spans="2:20" ht="18" customHeight="1" thickTop="1" x14ac:dyDescent="0.35">
      <c r="C44" s="31" t="s">
        <v>31</v>
      </c>
      <c r="D44" s="33" t="s">
        <v>32</v>
      </c>
      <c r="E44" s="34"/>
    </row>
    <row r="45" spans="2:20" ht="18" customHeight="1" thickBot="1" x14ac:dyDescent="0.4">
      <c r="C45" s="32" t="s">
        <v>30</v>
      </c>
      <c r="D45" s="35" t="s">
        <v>39</v>
      </c>
      <c r="E45" s="36"/>
    </row>
    <row r="46" spans="2:20" ht="15" thickTop="1" x14ac:dyDescent="0.35"/>
  </sheetData>
  <sheetProtection sheet="1" objects="1" scenarios="1"/>
  <mergeCells count="17">
    <mergeCell ref="C34:E35"/>
    <mergeCell ref="D8:E8"/>
    <mergeCell ref="C30:E30"/>
    <mergeCell ref="C40:E40"/>
    <mergeCell ref="C3:E4"/>
    <mergeCell ref="G18:H19"/>
    <mergeCell ref="G8:H9"/>
    <mergeCell ref="G13:H13"/>
    <mergeCell ref="C22:E23"/>
    <mergeCell ref="G3:H3"/>
    <mergeCell ref="C12:E13"/>
    <mergeCell ref="D9:E9"/>
    <mergeCell ref="D6:E6"/>
    <mergeCell ref="D5:E5"/>
    <mergeCell ref="D7:E7"/>
    <mergeCell ref="D10:E10"/>
    <mergeCell ref="G4:H5"/>
  </mergeCells>
  <dataValidations count="6">
    <dataValidation type="list" allowBlank="1" showInputMessage="1" showErrorMessage="1" sqref="D10:E10" xr:uid="{925887CE-6466-4DDE-B397-220249A86697}">
      <formula1>$G$26:$G$27</formula1>
    </dataValidation>
    <dataValidation type="list" allowBlank="1" showInputMessage="1" showErrorMessage="1" sqref="C8" xr:uid="{B2B143D7-A19D-4853-B53A-78D748A78D70}">
      <formula1>$G$32:$G$33</formula1>
    </dataValidation>
    <dataValidation type="list" allowBlank="1" showInputMessage="1" showErrorMessage="1" sqref="C25" xr:uid="{8B437623-7E23-49FC-A117-A201447B5178}">
      <formula1>$G$30:$G$31</formula1>
    </dataValidation>
    <dataValidation type="list" allowBlank="1" showInputMessage="1" showErrorMessage="1" sqref="C9" xr:uid="{939B475B-65AF-407E-9F2E-43CCE1210BE1}">
      <formula1>$G$35:$G$36</formula1>
    </dataValidation>
    <dataValidation type="list" allowBlank="1" showInputMessage="1" showErrorMessage="1" sqref="C19" xr:uid="{2497E519-87F0-4411-B9AE-B51D163BD309}">
      <formula1>$G$38:$G$39</formula1>
    </dataValidation>
    <dataValidation type="list" allowBlank="1" showInputMessage="1" showErrorMessage="1" sqref="E14" xr:uid="{D4E4FAED-9557-4538-B45C-4CDBF8A360E2}">
      <formula1>$G$38:$G$39</formula1>
    </dataValidation>
  </dataValidations>
  <hyperlinks>
    <hyperlink ref="D45" r:id="rId1" xr:uid="{F04C7905-F44D-48F5-AC47-5F5346ECA567}"/>
  </hyperlinks>
  <pageMargins left="0.7" right="0.7" top="0.75" bottom="0.75" header="0.3" footer="0.3"/>
  <pageSetup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Cain</dc:creator>
  <cp:lastModifiedBy>Rob Cain</cp:lastModifiedBy>
  <dcterms:created xsi:type="dcterms:W3CDTF">2026-01-12T02:39:54Z</dcterms:created>
  <dcterms:modified xsi:type="dcterms:W3CDTF">2026-03-29T00:15:44Z</dcterms:modified>
</cp:coreProperties>
</file>